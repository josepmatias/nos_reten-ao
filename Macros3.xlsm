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ostechnology-my.sharepoint.com/personal/jpmatias_corporativo_pt/Documents/Ambiente de Trabalho/"/>
    </mc:Choice>
  </mc:AlternateContent>
  <xr:revisionPtr revIDLastSave="521" documentId="8_{6841F447-C298-45A0-B076-665F80751E8C}" xr6:coauthVersionLast="47" xr6:coauthVersionMax="47" xr10:uidLastSave="{BEE2FE1D-C7C8-4C5F-9C0F-FD5F97889D78}"/>
  <bookViews>
    <workbookView xWindow="-110" yWindow="-110" windowWidth="19420" windowHeight="10300" activeTab="2" xr2:uid="{00000000-000D-0000-FFFF-FFFF00000000}"/>
  </bookViews>
  <sheets>
    <sheet name="Sheet1" sheetId="2" r:id="rId1"/>
    <sheet name="copia_auto" sheetId="3" r:id="rId2"/>
    <sheet name="elegíveis cb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I2" i="4" l="1"/>
  <c r="E3" i="4"/>
  <c r="E2" i="4"/>
</calcChain>
</file>

<file path=xl/sharedStrings.xml><?xml version="1.0" encoding="utf-8"?>
<sst xmlns="http://schemas.openxmlformats.org/spreadsheetml/2006/main" count="127" uniqueCount="90">
  <si>
    <t>reactiva</t>
  </si>
  <si>
    <t>proactiva</t>
  </si>
  <si>
    <t>livros download</t>
  </si>
  <si>
    <t>Tratar_Ficheiro_Download_BC01..xlsb</t>
  </si>
  <si>
    <t>Tratar_Download_GR29.xlsb</t>
  </si>
  <si>
    <t>livros apoio</t>
  </si>
  <si>
    <t>V6_Tratar_Cycle_Detail_RRR_PQ_MASTER_Supervisores.xlsb</t>
  </si>
  <si>
    <t>V5_Tratar_Cycle_Detail_RPR_PQ_MASTER_Supervisores.xlsb</t>
  </si>
  <si>
    <t>Tratar_Ficheiro_Download_DS05..xlsb</t>
  </si>
  <si>
    <t>Tratar_Download_B.C01_.xlsb</t>
  </si>
  <si>
    <t>Tratar_Ficheiro_Download_GR29.xlsb</t>
  </si>
  <si>
    <t>Tratar_Download_DS05.xlsb</t>
  </si>
  <si>
    <t>horas</t>
  </si>
  <si>
    <t>M2:N2 - A2</t>
  </si>
  <si>
    <t>AJ3:AK3 - A3</t>
  </si>
  <si>
    <t>gco_qualidade</t>
  </si>
  <si>
    <t>AF2 - I2</t>
  </si>
  <si>
    <t>AQ3:AS3 - D3</t>
  </si>
  <si>
    <t>gco_qualidade2</t>
  </si>
  <si>
    <t>AH2 - J2</t>
  </si>
  <si>
    <t>sfid/users</t>
  </si>
  <si>
    <t>AI13:AJ13 - Q2</t>
  </si>
  <si>
    <t>N7:O7 - S2</t>
  </si>
  <si>
    <t>users unpaid</t>
  </si>
  <si>
    <t>BA13 - S2</t>
  </si>
  <si>
    <t>produtividade</t>
  </si>
  <si>
    <t>Z7 - U2</t>
  </si>
  <si>
    <t>Valor IB</t>
  </si>
  <si>
    <t>AW13 - T2</t>
  </si>
  <si>
    <t>fator</t>
  </si>
  <si>
    <t>AD7 - V2</t>
  </si>
  <si>
    <t>sfid</t>
  </si>
  <si>
    <t>N7 - W2</t>
  </si>
  <si>
    <t>Valor</t>
  </si>
  <si>
    <t>AG7 - X2</t>
  </si>
  <si>
    <t>Cadastro</t>
  </si>
  <si>
    <t>AI7 - Y2</t>
  </si>
  <si>
    <t>ciclo</t>
  </si>
  <si>
    <t>livros csv</t>
  </si>
  <si>
    <t>coluna</t>
  </si>
  <si>
    <t>UNJUSTIFIED_ABSENCES</t>
  </si>
  <si>
    <t>D.S05_5677_MAR2024.csv</t>
  </si>
  <si>
    <t>B.C01_5677_MAR2024.csv</t>
  </si>
  <si>
    <t>G.R29_5657_MAR2024.csv</t>
  </si>
  <si>
    <t>B.C01_5657_MAR2024.csv</t>
  </si>
  <si>
    <t>D.S05_5657_MAR2024.csv</t>
  </si>
  <si>
    <t>C:\Users\jpmatias\OneDrive - NOS SGPS, S.A\Ambiente de Trabalho\Ficheiros corecção novembro\</t>
  </si>
  <si>
    <t>colunas formatar</t>
  </si>
  <si>
    <t>0,00</t>
  </si>
  <si>
    <t>SR_ARPU_IN</t>
  </si>
  <si>
    <t>SR_ARPU_VARIATION</t>
  </si>
  <si>
    <t>RENEGOTIATION_RATE</t>
  </si>
  <si>
    <t>CHARGEBACK_RATE</t>
  </si>
  <si>
    <t>WEIGHT</t>
  </si>
  <si>
    <t>GCO</t>
  </si>
  <si>
    <t>SR_POINTS</t>
  </si>
  <si>
    <t>SR_TREATMENT_POINTS</t>
  </si>
  <si>
    <t>SR_RENEWAL_PF_POINTS</t>
  </si>
  <si>
    <t>SR_CONVERGENT_POINTS</t>
  </si>
  <si>
    <t>SR_CHARGEBACK_POINTS</t>
  </si>
  <si>
    <t>ORIGINAL_VALUE</t>
  </si>
  <si>
    <t>VALUE_PRE_WITHHOLDING</t>
  </si>
  <si>
    <t>VALUE</t>
  </si>
  <si>
    <t>G.R29_5677_MAR2024.csv</t>
  </si>
  <si>
    <t>pasta</t>
  </si>
  <si>
    <t>mês</t>
  </si>
  <si>
    <t>mês n-3</t>
  </si>
  <si>
    <t>janeiro24</t>
  </si>
  <si>
    <t>04 Abr24</t>
  </si>
  <si>
    <t>elegiveis_cb_retençao</t>
  </si>
  <si>
    <t>ficheiros</t>
  </si>
  <si>
    <t>ficheiros2</t>
  </si>
  <si>
    <t>SR</t>
  </si>
  <si>
    <t>Extras</t>
  </si>
  <si>
    <t>RR PAGAMENTO DE FACTURA;ACORDO DE PAGAMENTO|RRR Event Type Name||RPR_GCO;RPR_UPFRONT NOS|RRR Incentive Type Name</t>
  </si>
  <si>
    <t>mês n-2</t>
  </si>
  <si>
    <t>Ativação</t>
  </si>
  <si>
    <t>GAL-1</t>
  </si>
  <si>
    <t>Portabilidades</t>
  </si>
  <si>
    <t>SERVICE REQUEST|RRR Event Type Name|RRR Incentive Type Name</t>
  </si>
  <si>
    <t>02 Fev24</t>
  </si>
  <si>
    <t>ficheiros3</t>
  </si>
  <si>
    <t>Resumo_Proativa</t>
  </si>
  <si>
    <t>Tratar_Ficheiro_Download_GR29_DS.xlsb</t>
  </si>
  <si>
    <t>Tratar_Ficheiro_Download_BC01_DS.xlsb</t>
  </si>
  <si>
    <t>Tratar_Ficheiro_Download_D.S05_DS.xlsb</t>
  </si>
  <si>
    <t>Apoio_Base_Proativa - Copy.xlsb</t>
  </si>
  <si>
    <t>ACTIVAÇÃO DE SERVIÇO|RRR Event Type Name|RRR Incentive Type Name</t>
  </si>
  <si>
    <t>Activação Negativa|PRR Chargeback Reason</t>
  </si>
  <si>
    <t>PORTABILIDADE DE SERVIÇO;EVENTO GENÉRICO DE SERVIÇO|RRR Event Type Name|RRR Incentive Type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</si>
</sst>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0" borderId="0" xfId="0" applyFont="1"/>
    <xf numFmtId="0" fontId="0" fillId="0" borderId="0" xfId="0" quotePrefix="1"/>
    <xf numFmtId="16" fontId="0" fillId="0" borderId="0" xfId="0" quotePrefix="1" applyNumberFormat="1"/>
    <xf numFmtId="17" fontId="0" fillId="0" borderId="0" xfId="0" quotePrefix="1" applyNumberFormat="1"/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8CF49-122C-4565-8F64-F64E67778700}">
  <sheetPr codeName="Sheet2"/>
  <dimension ref="C1:L13"/>
  <sheetViews>
    <sheetView workbookViewId="0">
      <selection activeCell="D1" sqref="D1:E4"/>
    </sheetView>
  </sheetViews>
  <sheetFormatPr defaultRowHeight="14.5" x14ac:dyDescent="0.35"/>
  <cols>
    <col min="3" max="3" width="14.1796875" bestFit="1" customWidth="1"/>
    <col min="4" max="4" width="33" bestFit="1" customWidth="1"/>
    <col min="9" max="9" width="15.54296875" customWidth="1"/>
    <col min="10" max="10" width="10.36328125" customWidth="1"/>
    <col min="11" max="11" width="14.81640625" customWidth="1"/>
    <col min="12" max="12" width="11.54296875" customWidth="1"/>
  </cols>
  <sheetData>
    <row r="1" spans="3:12" x14ac:dyDescent="0.35">
      <c r="D1" s="1" t="s">
        <v>0</v>
      </c>
      <c r="E1" s="1" t="s">
        <v>1</v>
      </c>
      <c r="J1" s="1" t="s">
        <v>0</v>
      </c>
      <c r="K1" s="1" t="s">
        <v>1</v>
      </c>
    </row>
    <row r="2" spans="3:12" x14ac:dyDescent="0.35">
      <c r="C2" s="2" t="s">
        <v>2</v>
      </c>
      <c r="D2" t="s">
        <v>84</v>
      </c>
      <c r="E2" t="s">
        <v>4</v>
      </c>
      <c r="I2" s="2" t="s">
        <v>5</v>
      </c>
      <c r="J2" t="s">
        <v>6</v>
      </c>
      <c r="K2" t="s">
        <v>7</v>
      </c>
    </row>
    <row r="3" spans="3:12" x14ac:dyDescent="0.35">
      <c r="D3" t="s">
        <v>85</v>
      </c>
      <c r="E3" t="s">
        <v>9</v>
      </c>
    </row>
    <row r="4" spans="3:12" x14ac:dyDescent="0.35">
      <c r="D4" t="s">
        <v>83</v>
      </c>
      <c r="E4" t="s">
        <v>11</v>
      </c>
    </row>
    <row r="5" spans="3:12" x14ac:dyDescent="0.35">
      <c r="I5" s="3" t="s">
        <v>12</v>
      </c>
      <c r="J5" t="s">
        <v>13</v>
      </c>
      <c r="K5" s="3" t="s">
        <v>12</v>
      </c>
      <c r="L5" t="s">
        <v>14</v>
      </c>
    </row>
    <row r="6" spans="3:12" x14ac:dyDescent="0.35">
      <c r="I6" s="3" t="s">
        <v>15</v>
      </c>
      <c r="J6" t="s">
        <v>16</v>
      </c>
      <c r="K6" s="3" t="s">
        <v>15</v>
      </c>
      <c r="L6" t="s">
        <v>17</v>
      </c>
    </row>
    <row r="7" spans="3:12" x14ac:dyDescent="0.35">
      <c r="I7" s="3" t="s">
        <v>18</v>
      </c>
      <c r="J7" t="s">
        <v>19</v>
      </c>
      <c r="K7" s="3" t="s">
        <v>20</v>
      </c>
      <c r="L7" t="s">
        <v>21</v>
      </c>
    </row>
    <row r="8" spans="3:12" x14ac:dyDescent="0.35">
      <c r="I8" s="3" t="s">
        <v>20</v>
      </c>
      <c r="J8" t="s">
        <v>22</v>
      </c>
      <c r="K8" s="3" t="s">
        <v>23</v>
      </c>
      <c r="L8" t="s">
        <v>24</v>
      </c>
    </row>
    <row r="9" spans="3:12" x14ac:dyDescent="0.35">
      <c r="I9" s="3" t="s">
        <v>25</v>
      </c>
      <c r="J9" t="s">
        <v>26</v>
      </c>
      <c r="K9" s="3" t="s">
        <v>27</v>
      </c>
      <c r="L9" t="s">
        <v>28</v>
      </c>
    </row>
    <row r="10" spans="3:12" x14ac:dyDescent="0.35">
      <c r="I10" s="3" t="s">
        <v>29</v>
      </c>
      <c r="J10" t="s">
        <v>30</v>
      </c>
      <c r="K10" s="3"/>
    </row>
    <row r="11" spans="3:12" x14ac:dyDescent="0.35">
      <c r="I11" s="3" t="s">
        <v>31</v>
      </c>
      <c r="J11" t="s">
        <v>32</v>
      </c>
      <c r="K11" s="3"/>
    </row>
    <row r="12" spans="3:12" x14ac:dyDescent="0.35">
      <c r="I12" s="3" t="s">
        <v>33</v>
      </c>
      <c r="J12" t="s">
        <v>34</v>
      </c>
      <c r="K12" s="3"/>
    </row>
    <row r="13" spans="3:12" x14ac:dyDescent="0.35">
      <c r="I13" s="3" t="s">
        <v>35</v>
      </c>
      <c r="J13" t="s">
        <v>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CFAC9-1B61-4543-97B4-9DB63D3A957A}">
  <sheetPr codeName="Sheet3"/>
  <dimension ref="A1:S15"/>
  <sheetViews>
    <sheetView workbookViewId="0">
      <selection activeCell="D1" sqref="D1:E1"/>
    </sheetView>
  </sheetViews>
  <sheetFormatPr defaultRowHeight="14.5" x14ac:dyDescent="0.35"/>
  <cols>
    <col min="3" max="3" width="14.1796875" bestFit="1" customWidth="1"/>
    <col min="4" max="4" width="33" bestFit="1" customWidth="1"/>
    <col min="5" max="5" width="26.36328125" bestFit="1" customWidth="1"/>
    <col min="8" max="8" width="23.08984375" bestFit="1" customWidth="1"/>
    <col min="9" max="9" width="22.90625" bestFit="1" customWidth="1"/>
    <col min="13" max="13" width="21.1796875" bestFit="1" customWidth="1"/>
    <col min="16" max="16" width="15.26953125" bestFit="1" customWidth="1"/>
  </cols>
  <sheetData>
    <row r="1" spans="1:19" x14ac:dyDescent="0.35">
      <c r="D1" s="1" t="s">
        <v>0</v>
      </c>
      <c r="E1" s="1" t="s">
        <v>1</v>
      </c>
      <c r="H1" s="1" t="s">
        <v>0</v>
      </c>
      <c r="I1" s="1" t="s">
        <v>1</v>
      </c>
      <c r="M1" s="1" t="s">
        <v>0</v>
      </c>
      <c r="N1" s="1" t="s">
        <v>1</v>
      </c>
      <c r="R1" s="1" t="s">
        <v>1</v>
      </c>
    </row>
    <row r="2" spans="1:19" x14ac:dyDescent="0.35">
      <c r="A2" s="2" t="s">
        <v>37</v>
      </c>
      <c r="C2" s="2" t="s">
        <v>2</v>
      </c>
      <c r="D2" t="s">
        <v>3</v>
      </c>
      <c r="E2" t="s">
        <v>9</v>
      </c>
      <c r="G2" s="2" t="s">
        <v>38</v>
      </c>
      <c r="H2" t="s">
        <v>44</v>
      </c>
      <c r="I2" t="s">
        <v>42</v>
      </c>
      <c r="L2" s="2" t="s">
        <v>39</v>
      </c>
      <c r="M2" t="s">
        <v>40</v>
      </c>
      <c r="P2" s="2" t="s">
        <v>47</v>
      </c>
      <c r="R2" t="s">
        <v>49</v>
      </c>
      <c r="S2" s="5" t="s">
        <v>48</v>
      </c>
    </row>
    <row r="3" spans="1:19" x14ac:dyDescent="0.35">
      <c r="A3" s="4" t="s">
        <v>1</v>
      </c>
      <c r="D3" t="s">
        <v>8</v>
      </c>
      <c r="E3" t="s">
        <v>11</v>
      </c>
      <c r="H3" t="s">
        <v>45</v>
      </c>
      <c r="I3" t="s">
        <v>41</v>
      </c>
      <c r="R3" t="s">
        <v>50</v>
      </c>
      <c r="S3" s="5" t="s">
        <v>48</v>
      </c>
    </row>
    <row r="4" spans="1:19" x14ac:dyDescent="0.35">
      <c r="D4" t="s">
        <v>10</v>
      </c>
      <c r="E4" t="s">
        <v>4</v>
      </c>
      <c r="H4" t="s">
        <v>43</v>
      </c>
      <c r="I4" t="s">
        <v>63</v>
      </c>
      <c r="R4" t="s">
        <v>51</v>
      </c>
      <c r="S4" s="5" t="s">
        <v>48</v>
      </c>
    </row>
    <row r="5" spans="1:19" x14ac:dyDescent="0.35">
      <c r="R5" t="s">
        <v>52</v>
      </c>
      <c r="S5" s="5" t="s">
        <v>48</v>
      </c>
    </row>
    <row r="6" spans="1:19" x14ac:dyDescent="0.35">
      <c r="R6" t="s">
        <v>53</v>
      </c>
      <c r="S6" s="5" t="s">
        <v>48</v>
      </c>
    </row>
    <row r="7" spans="1:19" x14ac:dyDescent="0.35">
      <c r="R7" t="s">
        <v>54</v>
      </c>
      <c r="S7" s="5" t="s">
        <v>48</v>
      </c>
    </row>
    <row r="8" spans="1:19" x14ac:dyDescent="0.35">
      <c r="R8" t="s">
        <v>55</v>
      </c>
      <c r="S8" s="5" t="s">
        <v>48</v>
      </c>
    </row>
    <row r="9" spans="1:19" x14ac:dyDescent="0.35">
      <c r="D9" t="s">
        <v>46</v>
      </c>
      <c r="R9" t="s">
        <v>56</v>
      </c>
      <c r="S9" s="5" t="s">
        <v>48</v>
      </c>
    </row>
    <row r="10" spans="1:19" x14ac:dyDescent="0.35">
      <c r="D10" t="s">
        <v>11</v>
      </c>
      <c r="R10" t="s">
        <v>57</v>
      </c>
      <c r="S10" s="5" t="s">
        <v>48</v>
      </c>
    </row>
    <row r="11" spans="1:19" x14ac:dyDescent="0.35">
      <c r="R11" t="s">
        <v>58</v>
      </c>
      <c r="S11" s="5" t="s">
        <v>48</v>
      </c>
    </row>
    <row r="12" spans="1:19" x14ac:dyDescent="0.35">
      <c r="R12" t="s">
        <v>59</v>
      </c>
      <c r="S12" s="5" t="s">
        <v>48</v>
      </c>
    </row>
    <row r="13" spans="1:19" x14ac:dyDescent="0.35">
      <c r="R13" t="s">
        <v>60</v>
      </c>
      <c r="S13" s="5" t="s">
        <v>48</v>
      </c>
    </row>
    <row r="14" spans="1:19" x14ac:dyDescent="0.35">
      <c r="R14" t="s">
        <v>61</v>
      </c>
      <c r="S14" s="5" t="s">
        <v>48</v>
      </c>
    </row>
    <row r="15" spans="1:19" x14ac:dyDescent="0.35">
      <c r="R15" t="s">
        <v>62</v>
      </c>
      <c r="S15" s="5" t="s">
        <v>48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D722-CE08-4202-9100-74523FEB3EDA}">
  <sheetPr codeName="Sheet1"/>
  <dimension ref="A1:I9"/>
  <sheetViews>
    <sheetView tabSelected="1" topLeftCell="C1" workbookViewId="0">
      <selection activeCell="I9" sqref="I9"/>
    </sheetView>
  </sheetViews>
  <sheetFormatPr defaultRowHeight="14.5" x14ac:dyDescent="0.35"/>
  <cols>
    <col min="3" max="3" width="13.7265625" customWidth="1"/>
    <col min="4" max="4" width="15.453125" customWidth="1"/>
    <col min="5" max="5" width="14" customWidth="1"/>
    <col min="7" max="7" width="18.1796875" bestFit="1" customWidth="1"/>
  </cols>
  <sheetData>
    <row r="1" spans="1:9" x14ac:dyDescent="0.35">
      <c r="A1" s="4" t="s">
        <v>69</v>
      </c>
      <c r="D1" s="1" t="s">
        <v>0</v>
      </c>
      <c r="E1" s="1" t="s">
        <v>1</v>
      </c>
      <c r="H1" s="1" t="s">
        <v>0</v>
      </c>
      <c r="I1" s="1" t="s">
        <v>1</v>
      </c>
    </row>
    <row r="2" spans="1:9" x14ac:dyDescent="0.35">
      <c r="C2" s="2" t="s">
        <v>64</v>
      </c>
      <c r="E2" t="str">
        <f>"Z:\Comissionamento\Comissionamento\Comerciais\_Retenção\3.ENTRADA EM PRODUÇÃO\2024\"&amp;$C$6&amp;"\12.Base CB\Auxiliares\Apoio Base"</f>
        <v>Z:\Comissionamento\Comissionamento\Comerciais\_Retenção\3.ENTRADA EM PRODUÇÃO\2024\04 Abr24\12.Base CB\Auxiliares\Apoio Base</v>
      </c>
      <c r="G2" s="2" t="s">
        <v>70</v>
      </c>
      <c r="I2" t="str">
        <f>"P_Base_CB_"&amp;C7&amp;"_Users.xlsb"</f>
        <v>P_Base_CB_janeiro24_Users.xlsb</v>
      </c>
    </row>
    <row r="3" spans="1:9" x14ac:dyDescent="0.35">
      <c r="E3" t="str">
        <f>"Z:\Comissionamento\Comissionamento\Comerciais\_Retenção\3.ENTRADA EM PRODUÇÃO\2024\"&amp;$C$6&amp;"\12.Base CB"</f>
        <v>Z:\Comissionamento\Comissionamento\Comerciais\_Retenção\3.ENTRADA EM PRODUÇÃO\2024\04 Abr24\12.Base CB</v>
      </c>
      <c r="G3" s="2" t="s">
        <v>71</v>
      </c>
      <c r="I3" t="s">
        <v>86</v>
      </c>
    </row>
    <row r="4" spans="1:9" x14ac:dyDescent="0.35">
      <c r="B4" s="2" t="s">
        <v>37</v>
      </c>
      <c r="C4" s="8" t="s">
        <v>1</v>
      </c>
      <c r="E4" t="str">
        <f>"Z:\Comissionamento\Comissionamento\Comerciais\_Retenção\3.ENTRADA EM PRODUÇÃO\2024\"&amp;$C$8&amp;"\9.Ciclos\Proactiva\"</f>
        <v>Z:\Comissionamento\Comissionamento\Comerciais\_Retenção\3.ENTRADA EM PRODUÇÃO\2024\02 Fev24\9.Ciclos\Proactiva\</v>
      </c>
      <c r="G4" s="2" t="s">
        <v>81</v>
      </c>
      <c r="I4" t="s">
        <v>82</v>
      </c>
    </row>
    <row r="5" spans="1:9" x14ac:dyDescent="0.35">
      <c r="G5" s="2" t="s">
        <v>72</v>
      </c>
      <c r="I5" t="s">
        <v>79</v>
      </c>
    </row>
    <row r="6" spans="1:9" x14ac:dyDescent="0.35">
      <c r="B6" s="2" t="s">
        <v>65</v>
      </c>
      <c r="C6" s="6" t="s">
        <v>68</v>
      </c>
      <c r="G6" s="2" t="s">
        <v>76</v>
      </c>
      <c r="I6" t="s">
        <v>87</v>
      </c>
    </row>
    <row r="7" spans="1:9" x14ac:dyDescent="0.35">
      <c r="B7" s="2" t="s">
        <v>66</v>
      </c>
      <c r="C7" s="7" t="s">
        <v>67</v>
      </c>
      <c r="G7" s="2" t="s">
        <v>77</v>
      </c>
      <c r="I7" t="s">
        <v>88</v>
      </c>
    </row>
    <row r="8" spans="1:9" x14ac:dyDescent="0.35">
      <c r="B8" s="2" t="s">
        <v>75</v>
      </c>
      <c r="C8" s="7" t="s">
        <v>80</v>
      </c>
      <c r="G8" s="2" t="s">
        <v>78</v>
      </c>
      <c r="I8" t="s">
        <v>89</v>
      </c>
    </row>
    <row r="9" spans="1:9" x14ac:dyDescent="0.35">
      <c r="G9" s="2" t="s">
        <v>73</v>
      </c>
      <c r="I9" t="s">
        <v>74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copia_auto</vt:lpstr>
      <vt:lpstr>elegíveis cb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Pedro Matias (P)</dc:creator>
  <cp:lastModifiedBy>Jose Pedro Matias (P)</cp:lastModifiedBy>
  <dcterms:created xsi:type="dcterms:W3CDTF">2015-06-05T18:17:20Z</dcterms:created>
  <dcterms:modified xsi:type="dcterms:W3CDTF">2024-05-02T21:53:54Z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80d606-3385-4829-a27a-d391e7785643_Enabled">
    <vt:lpwstr>true</vt:lpwstr>
  </property>
  <property fmtid="{D5CDD505-2E9C-101B-9397-08002B2CF9AE}" pid="3" name="MSIP_Label_1680d606-3385-4829-a27a-d391e7785643_SetDate">
    <vt:lpwstr>2024-04-26T11:12:10Z</vt:lpwstr>
  </property>
  <property fmtid="{D5CDD505-2E9C-101B-9397-08002B2CF9AE}" pid="4" name="MSIP_Label_1680d606-3385-4829-a27a-d391e7785643_Method">
    <vt:lpwstr>Standard</vt:lpwstr>
  </property>
  <property fmtid="{D5CDD505-2E9C-101B-9397-08002B2CF9AE}" pid="5" name="MSIP_Label_1680d606-3385-4829-a27a-d391e7785643_Name">
    <vt:lpwstr>1680d606-3385-4829-a27a-d391e7785643</vt:lpwstr>
  </property>
  <property fmtid="{D5CDD505-2E9C-101B-9397-08002B2CF9AE}" pid="6" name="MSIP_Label_1680d606-3385-4829-a27a-d391e7785643_SiteId">
    <vt:lpwstr>b6f420c1-da14-4124-b666-fadafb6ebc04</vt:lpwstr>
  </property>
  <property fmtid="{D5CDD505-2E9C-101B-9397-08002B2CF9AE}" pid="7" name="MSIP_Label_1680d606-3385-4829-a27a-d391e7785643_ActionId">
    <vt:lpwstr>1ecd27c1-65d4-4fa1-8300-284bf2f551a1</vt:lpwstr>
  </property>
  <property fmtid="{D5CDD505-2E9C-101B-9397-08002B2CF9AE}" pid="8" name="MSIP_Label_1680d606-3385-4829-a27a-d391e7785643_ContentBits">
    <vt:lpwstr>0</vt:lpwstr>
  </property>
</Properties>
</file>